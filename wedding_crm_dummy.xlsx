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ount" sheetId="1" state="visible" r:id="rId3"/>
    <sheet name="Profile" sheetId="2" state="visible" r:id="rId4"/>
    <sheet name="Family_Link" sheetId="3" state="visible" r:id="rId5"/>
    <sheet name="Event" sheetId="4" state="visible" r:id="rId6"/>
    <sheet name="Revenue" sheetId="5" state="visible" r:id="rId7"/>
    <sheet name="Notific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<sst xmlns="http://schemas.openxmlformats.org/spreadsheetml/2006/main" count="159" uniqueCount="104">
  <si>
    <t xml:space="preserve">account_id</t>
  </si>
  <si>
    <t xml:space="preserve">sales_owner</t>
  </si>
  <si>
    <t xml:space="preserve">status</t>
  </si>
  <si>
    <t xml:space="preserve">date_created</t>
  </si>
  <si>
    <t xml:space="preserve">referral_source</t>
  </si>
  <si>
    <t xml:space="preserve">ACC-0001</t>
  </si>
  <si>
    <t xml:space="preserve">Dewi Anggraini</t>
  </si>
  <si>
    <t xml:space="preserve">active</t>
  </si>
  <si>
    <t xml:space="preserve">Venue - Grand Ballroom SBY</t>
  </si>
  <si>
    <t xml:space="preserve">ACC-0002</t>
  </si>
  <si>
    <t xml:space="preserve">Rian Pratama</t>
  </si>
  <si>
    <t xml:space="preserve">Referral - klien lama ACC-0001</t>
  </si>
  <si>
    <t xml:space="preserve">ACC-0003</t>
  </si>
  <si>
    <t xml:space="preserve">Instagram Ads</t>
  </si>
  <si>
    <t xml:space="preserve">ACC-0004</t>
  </si>
  <si>
    <t xml:space="preserve">inactive</t>
  </si>
  <si>
    <t xml:space="preserve">Walk-in</t>
  </si>
  <si>
    <t xml:space="preserve">account_id: format ACC-XXXX. sales_owner: nama sales yang pegang akun ini.</t>
  </si>
  <si>
    <t xml:space="preserve">profile_id</t>
  </si>
  <si>
    <t xml:space="preserve">full_name</t>
  </si>
  <si>
    <t xml:space="preserve">birthdate</t>
  </si>
  <si>
    <t xml:space="preserve">relation_role</t>
  </si>
  <si>
    <t xml:space="preserve">phone</t>
  </si>
  <si>
    <t xml:space="preserve">email</t>
  </si>
  <si>
    <t xml:space="preserve">PRF-0001</t>
  </si>
  <si>
    <t xml:space="preserve">Anisa Putri</t>
  </si>
  <si>
    <t xml:space="preserve">bride</t>
  </si>
  <si>
    <t xml:space="preserve">0812xxxxxxx1</t>
  </si>
  <si>
    <t xml:space="preserve">anisa@example.com</t>
  </si>
  <si>
    <t xml:space="preserve">PRF-0002</t>
  </si>
  <si>
    <t xml:space="preserve">Bagas Wirawan</t>
  </si>
  <si>
    <t xml:space="preserve">groom</t>
  </si>
  <si>
    <t xml:space="preserve">0812xxxxxxx2</t>
  </si>
  <si>
    <t xml:space="preserve">bagas@example.com</t>
  </si>
  <si>
    <t xml:space="preserve">PRF-0003</t>
  </si>
  <si>
    <t xml:space="preserve">Citra Dewanti</t>
  </si>
  <si>
    <t xml:space="preserve">0813xxxxxxx3</t>
  </si>
  <si>
    <t xml:space="preserve">citra@example.com</t>
  </si>
  <si>
    <t xml:space="preserve">PRF-0004</t>
  </si>
  <si>
    <t xml:space="preserve">Doni Saputra</t>
  </si>
  <si>
    <t xml:space="preserve">0813xxxxxxx4</t>
  </si>
  <si>
    <t xml:space="preserve">doni@example.com</t>
  </si>
  <si>
    <t xml:space="preserve">PRF-0005</t>
  </si>
  <si>
    <t xml:space="preserve">Eka Marlina</t>
  </si>
  <si>
    <t xml:space="preserve">0814xxxxxxx5</t>
  </si>
  <si>
    <t xml:space="preserve">eka@example.com</t>
  </si>
  <si>
    <t xml:space="preserve">PRF-0006</t>
  </si>
  <si>
    <t xml:space="preserve">Farhan Alamsyah</t>
  </si>
  <si>
    <t xml:space="preserve">0815xxxxxxx6</t>
  </si>
  <si>
    <t xml:space="preserve">farhan@example.com</t>
  </si>
  <si>
    <t xml:space="preserve">relation_role: bride/groom/parent/sibling/witness dst. Satu account bisa punya banyak profile.</t>
  </si>
  <si>
    <t xml:space="preserve">link_id</t>
  </si>
  <si>
    <t xml:space="preserve">related_profile_id</t>
  </si>
  <si>
    <t xml:space="preserve">relation_type</t>
  </si>
  <si>
    <t xml:space="preserve">notes</t>
  </si>
  <si>
    <t xml:space="preserve">LNK-0001</t>
  </si>
  <si>
    <t xml:space="preserve">sibling</t>
  </si>
  <si>
    <t xml:space="preserve">Citra adalah kakak dari Eka</t>
  </si>
  <si>
    <t xml:space="preserve">LNK-0002</t>
  </si>
  <si>
    <t xml:space="preserve">cousin</t>
  </si>
  <si>
    <t xml:space="preserve">Anisa sepupu Farhan</t>
  </si>
  <si>
    <t xml:space="preserve">Tabel penghubung antar profile (anak, saudara, sepupu) untuk deteksi peluang wedding berikutnya.</t>
  </si>
  <si>
    <t xml:space="preserve">event_id</t>
  </si>
  <si>
    <t xml:space="preserve">event_date</t>
  </si>
  <si>
    <t xml:space="preserve">event_type</t>
  </si>
  <si>
    <t xml:space="preserve">venue</t>
  </si>
  <si>
    <t xml:space="preserve">EVT-0001</t>
  </si>
  <si>
    <t xml:space="preserve">wedding</t>
  </si>
  <si>
    <t xml:space="preserve">Grand Ballroom Surabaya</t>
  </si>
  <si>
    <t xml:space="preserve">completed</t>
  </si>
  <si>
    <t xml:space="preserve">EVT-0002</t>
  </si>
  <si>
    <t xml:space="preserve">Hotel Majapahit</t>
  </si>
  <si>
    <t xml:space="preserve">EVT-0003</t>
  </si>
  <si>
    <t xml:space="preserve">engagement</t>
  </si>
  <si>
    <t xml:space="preserve">Private Villa</t>
  </si>
  <si>
    <t xml:space="preserve">EVT-0004</t>
  </si>
  <si>
    <t xml:space="preserve">Shangri-La Surabaya</t>
  </si>
  <si>
    <t xml:space="preserve">event_type: wedding/engagement/anniversary_party dst.</t>
  </si>
  <si>
    <t xml:space="preserve">revenue_id</t>
  </si>
  <si>
    <t xml:space="preserve">amount</t>
  </si>
  <si>
    <t xml:space="preserve">payment_status</t>
  </si>
  <si>
    <t xml:space="preserve">due_date</t>
  </si>
  <si>
    <t xml:space="preserve">REV-0001</t>
  </si>
  <si>
    <t xml:space="preserve">paid</t>
  </si>
  <si>
    <t xml:space="preserve">REV-0002</t>
  </si>
  <si>
    <t xml:space="preserve">REV-0003</t>
  </si>
  <si>
    <t xml:space="preserve">partial</t>
  </si>
  <si>
    <t xml:space="preserve">REV-0004</t>
  </si>
  <si>
    <t xml:space="preserve">amount dalam Rupiah. payment_status: paid/partial/unpaid.</t>
  </si>
  <si>
    <t xml:space="preserve">notif_id</t>
  </si>
  <si>
    <t xml:space="preserve">notif_type</t>
  </si>
  <si>
    <t xml:space="preserve">trigger_date</t>
  </si>
  <si>
    <t xml:space="preserve">next_occurrence</t>
  </si>
  <si>
    <t xml:space="preserve">days_remaining</t>
  </si>
  <si>
    <t xml:space="preserve">NOT-0001</t>
  </si>
  <si>
    <t xml:space="preserve">wedding_anniversary</t>
  </si>
  <si>
    <t xml:space="preserve">pending</t>
  </si>
  <si>
    <t xml:space="preserve">NOT-0002</t>
  </si>
  <si>
    <t xml:space="preserve">NOT-0003</t>
  </si>
  <si>
    <t xml:space="preserve">birthday</t>
  </si>
  <si>
    <t xml:space="preserve">NOT-0004</t>
  </si>
  <si>
    <t xml:space="preserve">NOT-0005</t>
  </si>
  <si>
    <t xml:space="preserve">custom_followup</t>
  </si>
  <si>
    <t xml:space="preserve">trigger_date diisi manual untuk custom_followup. Untuk anniversary/birthday, tanggal diambil otomatis dari Event/Profile via formula.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</si>
</sst>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mm/dd/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D9E75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1D9E7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3" t="n">
        <v>44997</v>
      </c>
      <c r="E2" s="2" t="s">
        <v>8</v>
      </c>
    </row>
    <row r="3" customFormat="false" ht="15" hidden="false" customHeight="false" outlineLevel="0" collapsed="false">
      <c r="A3" s="2" t="s">
        <v>9</v>
      </c>
      <c r="B3" s="2" t="s">
        <v>10</v>
      </c>
      <c r="C3" s="2" t="s">
        <v>7</v>
      </c>
      <c r="D3" s="3" t="n">
        <v>45111</v>
      </c>
      <c r="E3" s="2" t="s">
        <v>11</v>
      </c>
    </row>
    <row r="4" customFormat="false" ht="15" hidden="false" customHeight="false" outlineLevel="0" collapsed="false">
      <c r="A4" s="2" t="s">
        <v>12</v>
      </c>
      <c r="B4" s="2" t="s">
        <v>6</v>
      </c>
      <c r="C4" s="2" t="s">
        <v>7</v>
      </c>
      <c r="D4" s="3" t="n">
        <v>45311</v>
      </c>
      <c r="E4" s="2" t="s">
        <v>13</v>
      </c>
    </row>
    <row r="5" customFormat="false" ht="15" hidden="false" customHeight="false" outlineLevel="0" collapsed="false">
      <c r="A5" s="2" t="s">
        <v>14</v>
      </c>
      <c r="B5" s="2" t="s">
        <v>10</v>
      </c>
      <c r="C5" s="2" t="s">
        <v>15</v>
      </c>
      <c r="D5" s="3" t="n">
        <v>44874</v>
      </c>
      <c r="E5" s="2" t="s">
        <v>16</v>
      </c>
    </row>
    <row r="7" customFormat="false" ht="15" hidden="false" customHeight="false" outlineLevel="0" collapsed="false">
      <c r="A7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0"/>
    <col collapsed="false" customWidth="true" hidden="false" outlineLevel="0" max="5" min="4" style="0" width="13"/>
    <col collapsed="false" customWidth="true" hidden="false" outlineLevel="0" max="6" min="6" style="0" width="15"/>
    <col collapsed="false" customWidth="true" hidden="false" outlineLevel="0" max="7" min="7" style="0" width="22"/>
  </cols>
  <sheetData>
    <row r="1" customFormat="false" ht="15" hidden="false" customHeight="false" outlineLevel="0" collapsed="false">
      <c r="A1" s="1" t="s">
        <v>18</v>
      </c>
      <c r="B1" s="1" t="s">
        <v>0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customFormat="false" ht="15" hidden="false" customHeight="false" outlineLevel="0" collapsed="false">
      <c r="A2" s="2" t="s">
        <v>24</v>
      </c>
      <c r="B2" s="2" t="s">
        <v>5</v>
      </c>
      <c r="C2" s="2" t="s">
        <v>25</v>
      </c>
      <c r="D2" s="3" t="n">
        <v>34833</v>
      </c>
      <c r="E2" s="2" t="s">
        <v>26</v>
      </c>
      <c r="F2" s="2" t="s">
        <v>27</v>
      </c>
      <c r="G2" s="2" t="s">
        <v>28</v>
      </c>
    </row>
    <row r="3" customFormat="false" ht="15" hidden="false" customHeight="false" outlineLevel="0" collapsed="false">
      <c r="A3" s="2" t="s">
        <v>29</v>
      </c>
      <c r="B3" s="2" t="s">
        <v>5</v>
      </c>
      <c r="C3" s="2" t="s">
        <v>30</v>
      </c>
      <c r="D3" s="3" t="n">
        <v>34002</v>
      </c>
      <c r="E3" s="2" t="s">
        <v>31</v>
      </c>
      <c r="F3" s="2" t="s">
        <v>32</v>
      </c>
      <c r="G3" s="2" t="s">
        <v>33</v>
      </c>
    </row>
    <row r="4" customFormat="false" ht="15" hidden="false" customHeight="false" outlineLevel="0" collapsed="false">
      <c r="A4" s="2" t="s">
        <v>34</v>
      </c>
      <c r="B4" s="2" t="s">
        <v>9</v>
      </c>
      <c r="C4" s="2" t="s">
        <v>35</v>
      </c>
      <c r="D4" s="3" t="n">
        <v>35703</v>
      </c>
      <c r="E4" s="2" t="s">
        <v>26</v>
      </c>
      <c r="F4" s="2" t="s">
        <v>36</v>
      </c>
      <c r="G4" s="2" t="s">
        <v>37</v>
      </c>
    </row>
    <row r="5" customFormat="false" ht="15" hidden="false" customHeight="false" outlineLevel="0" collapsed="false">
      <c r="A5" s="2" t="s">
        <v>38</v>
      </c>
      <c r="B5" s="2" t="s">
        <v>9</v>
      </c>
      <c r="C5" s="2" t="s">
        <v>39</v>
      </c>
      <c r="D5" s="3" t="n">
        <v>34693</v>
      </c>
      <c r="E5" s="2" t="s">
        <v>31</v>
      </c>
      <c r="F5" s="2" t="s">
        <v>40</v>
      </c>
      <c r="G5" s="2" t="s">
        <v>41</v>
      </c>
    </row>
    <row r="6" customFormat="false" ht="15" hidden="false" customHeight="false" outlineLevel="0" collapsed="false">
      <c r="A6" s="2" t="s">
        <v>42</v>
      </c>
      <c r="B6" s="2" t="s">
        <v>12</v>
      </c>
      <c r="C6" s="2" t="s">
        <v>43</v>
      </c>
      <c r="D6" s="3" t="n">
        <v>35964</v>
      </c>
      <c r="E6" s="2" t="s">
        <v>26</v>
      </c>
      <c r="F6" s="2" t="s">
        <v>44</v>
      </c>
      <c r="G6" s="2" t="s">
        <v>45</v>
      </c>
    </row>
    <row r="7" customFormat="false" ht="15" hidden="false" customHeight="false" outlineLevel="0" collapsed="false">
      <c r="A7" s="2" t="s">
        <v>46</v>
      </c>
      <c r="B7" s="2" t="s">
        <v>14</v>
      </c>
      <c r="C7" s="2" t="s">
        <v>47</v>
      </c>
      <c r="D7" s="3" t="n">
        <v>32964</v>
      </c>
      <c r="E7" s="2" t="s">
        <v>31</v>
      </c>
      <c r="F7" s="2" t="s">
        <v>48</v>
      </c>
      <c r="G7" s="2" t="s">
        <v>49</v>
      </c>
    </row>
    <row r="9" customFormat="false" ht="15" hidden="false" customHeight="false" outlineLevel="0" collapsed="false">
      <c r="A9" s="4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32"/>
  </cols>
  <sheetData>
    <row r="1" customFormat="false" ht="15" hidden="false" customHeight="false" outlineLevel="0" collapsed="false">
      <c r="A1" s="1" t="s">
        <v>51</v>
      </c>
      <c r="B1" s="1" t="s">
        <v>18</v>
      </c>
      <c r="C1" s="1" t="s">
        <v>52</v>
      </c>
      <c r="D1" s="1" t="s">
        <v>53</v>
      </c>
      <c r="E1" s="1" t="s">
        <v>54</v>
      </c>
    </row>
    <row r="2" customFormat="false" ht="15" hidden="false" customHeight="false" outlineLevel="0" collapsed="false">
      <c r="A2" s="2" t="s">
        <v>55</v>
      </c>
      <c r="B2" s="2" t="s">
        <v>34</v>
      </c>
      <c r="C2" s="2" t="s">
        <v>42</v>
      </c>
      <c r="D2" s="2" t="s">
        <v>56</v>
      </c>
      <c r="E2" s="2" t="s">
        <v>57</v>
      </c>
    </row>
    <row r="3" customFormat="false" ht="15" hidden="false" customHeight="false" outlineLevel="0" collapsed="false">
      <c r="A3" s="2" t="s">
        <v>58</v>
      </c>
      <c r="B3" s="2" t="s">
        <v>24</v>
      </c>
      <c r="C3" s="2" t="s">
        <v>46</v>
      </c>
      <c r="D3" s="2" t="s">
        <v>59</v>
      </c>
      <c r="E3" s="2" t="s">
        <v>60</v>
      </c>
    </row>
    <row r="5" customFormat="false" ht="15" hidden="false" customHeight="false" outlineLevel="0" collapsed="false">
      <c r="A5" s="4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" t="s">
        <v>62</v>
      </c>
      <c r="B1" s="1" t="s">
        <v>18</v>
      </c>
      <c r="C1" s="1" t="s">
        <v>63</v>
      </c>
      <c r="D1" s="1" t="s">
        <v>64</v>
      </c>
      <c r="E1" s="1" t="s">
        <v>65</v>
      </c>
      <c r="F1" s="1" t="s">
        <v>2</v>
      </c>
    </row>
    <row r="2" customFormat="false" ht="15" hidden="false" customHeight="false" outlineLevel="0" collapsed="false">
      <c r="A2" s="2" t="s">
        <v>66</v>
      </c>
      <c r="B2" s="2" t="s">
        <v>24</v>
      </c>
      <c r="C2" s="3" t="n">
        <v>45179</v>
      </c>
      <c r="D2" s="2" t="s">
        <v>67</v>
      </c>
      <c r="E2" s="2" t="s">
        <v>68</v>
      </c>
      <c r="F2" s="2" t="s">
        <v>69</v>
      </c>
    </row>
    <row r="3" customFormat="false" ht="15" hidden="false" customHeight="false" outlineLevel="0" collapsed="false">
      <c r="A3" s="2" t="s">
        <v>70</v>
      </c>
      <c r="B3" s="2" t="s">
        <v>34</v>
      </c>
      <c r="C3" s="3" t="n">
        <v>45339</v>
      </c>
      <c r="D3" s="2" t="s">
        <v>67</v>
      </c>
      <c r="E3" s="2" t="s">
        <v>71</v>
      </c>
      <c r="F3" s="2" t="s">
        <v>69</v>
      </c>
    </row>
    <row r="4" customFormat="false" ht="15" hidden="false" customHeight="false" outlineLevel="0" collapsed="false">
      <c r="A4" s="2" t="s">
        <v>72</v>
      </c>
      <c r="B4" s="2" t="s">
        <v>42</v>
      </c>
      <c r="C4" s="3" t="n">
        <v>45529</v>
      </c>
      <c r="D4" s="2" t="s">
        <v>73</v>
      </c>
      <c r="E4" s="2" t="s">
        <v>74</v>
      </c>
      <c r="F4" s="2" t="s">
        <v>69</v>
      </c>
    </row>
    <row r="5" customFormat="false" ht="15" hidden="false" customHeight="false" outlineLevel="0" collapsed="false">
      <c r="A5" s="2" t="s">
        <v>75</v>
      </c>
      <c r="B5" s="2" t="s">
        <v>46</v>
      </c>
      <c r="C5" s="3" t="n">
        <v>44898</v>
      </c>
      <c r="D5" s="2" t="s">
        <v>67</v>
      </c>
      <c r="E5" s="2" t="s">
        <v>76</v>
      </c>
      <c r="F5" s="2" t="s">
        <v>69</v>
      </c>
    </row>
    <row r="7" customFormat="false" ht="15" hidden="false" customHeight="false" outlineLevel="0" collapsed="false">
      <c r="A7" s="4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3"/>
  </cols>
  <sheetData>
    <row r="1" customFormat="false" ht="15" hidden="false" customHeight="false" outlineLevel="0" collapsed="false">
      <c r="A1" s="1" t="s">
        <v>78</v>
      </c>
      <c r="B1" s="1" t="s">
        <v>62</v>
      </c>
      <c r="C1" s="1" t="s">
        <v>79</v>
      </c>
      <c r="D1" s="1" t="s">
        <v>80</v>
      </c>
      <c r="E1" s="1" t="s">
        <v>81</v>
      </c>
    </row>
    <row r="2" customFormat="false" ht="15" hidden="false" customHeight="false" outlineLevel="0" collapsed="false">
      <c r="A2" s="2" t="s">
        <v>82</v>
      </c>
      <c r="B2" s="2" t="s">
        <v>66</v>
      </c>
      <c r="C2" s="2" t="n">
        <v>185000000</v>
      </c>
      <c r="D2" s="2" t="s">
        <v>83</v>
      </c>
      <c r="E2" s="3" t="n">
        <v>45170</v>
      </c>
    </row>
    <row r="3" customFormat="false" ht="15" hidden="false" customHeight="false" outlineLevel="0" collapsed="false">
      <c r="A3" s="2" t="s">
        <v>84</v>
      </c>
      <c r="B3" s="2" t="s">
        <v>70</v>
      </c>
      <c r="C3" s="2" t="n">
        <v>240000000</v>
      </c>
      <c r="D3" s="2" t="s">
        <v>83</v>
      </c>
      <c r="E3" s="3" t="n">
        <v>45332</v>
      </c>
    </row>
    <row r="4" customFormat="false" ht="15" hidden="false" customHeight="false" outlineLevel="0" collapsed="false">
      <c r="A4" s="2" t="s">
        <v>85</v>
      </c>
      <c r="B4" s="2" t="s">
        <v>72</v>
      </c>
      <c r="C4" s="2" t="n">
        <v>65000000</v>
      </c>
      <c r="D4" s="2" t="s">
        <v>86</v>
      </c>
      <c r="E4" s="3" t="n">
        <v>45524</v>
      </c>
    </row>
    <row r="5" customFormat="false" ht="15" hidden="false" customHeight="false" outlineLevel="0" collapsed="false">
      <c r="A5" s="2" t="s">
        <v>87</v>
      </c>
      <c r="B5" s="2" t="s">
        <v>75</v>
      </c>
      <c r="C5" s="2" t="n">
        <v>210000000</v>
      </c>
      <c r="D5" s="2" t="s">
        <v>83</v>
      </c>
      <c r="E5" s="3" t="n">
        <v>44893</v>
      </c>
    </row>
    <row r="7" customFormat="false" ht="15" hidden="false" customHeight="false" outlineLevel="0" collapsed="false">
      <c r="A7" s="4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" t="s">
        <v>89</v>
      </c>
      <c r="B1" s="1" t="s">
        <v>18</v>
      </c>
      <c r="C1" s="1" t="s">
        <v>62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2</v>
      </c>
    </row>
    <row r="2" customFormat="false" ht="15" hidden="false" customHeight="false" outlineLevel="0" collapsed="false">
      <c r="A2" s="2" t="s">
        <v>94</v>
      </c>
      <c r="B2" s="2" t="s">
        <v>24</v>
      </c>
      <c r="C2" s="2" t="s">
        <v>66</v>
      </c>
      <c r="D2" s="2" t="s">
        <v>95</v>
      </c>
      <c r="E2" s="3" t="n">
        <f aca="false">INDEX(Event!$C:$C, MATCH(C2, Event!$A:$A, 0))</f>
        <v>45179</v>
      </c>
      <c r="F2" s="5" t="n">
        <f aca="true">IF(E2="","",DATE(YEAR(TODAY())+IF(DATE(YEAR(TODAY()),MONTH(E2),DAY(E2))&lt;TODAY(),1,0),MONTH(E2),DAY(E2)))</f>
        <v>46275</v>
      </c>
      <c r="G2" s="2" t="n">
        <f aca="true">IF(F2="","",F2-TODAY())</f>
        <v>33</v>
      </c>
      <c r="H2" s="2" t="s">
        <v>96</v>
      </c>
    </row>
    <row r="3" customFormat="false" ht="15" hidden="false" customHeight="false" outlineLevel="0" collapsed="false">
      <c r="A3" s="2" t="s">
        <v>97</v>
      </c>
      <c r="B3" s="2" t="s">
        <v>29</v>
      </c>
      <c r="C3" s="2" t="s">
        <v>66</v>
      </c>
      <c r="D3" s="2" t="s">
        <v>95</v>
      </c>
      <c r="E3" s="3" t="n">
        <f aca="false">INDEX(Event!$C:$C, MATCH(C3, Event!$A:$A, 0))</f>
        <v>45179</v>
      </c>
      <c r="F3" s="5" t="n">
        <f aca="true">IF(E3="","",DATE(YEAR(TODAY())+IF(DATE(YEAR(TODAY()),MONTH(E3),DAY(E3))&lt;TODAY(),1,0),MONTH(E3),DAY(E3)))</f>
        <v>46275</v>
      </c>
      <c r="G3" s="2" t="n">
        <f aca="true">IF(F3="","",F3-TODAY())</f>
        <v>33</v>
      </c>
      <c r="H3" s="2" t="s">
        <v>96</v>
      </c>
    </row>
    <row r="4" customFormat="false" ht="15" hidden="false" customHeight="false" outlineLevel="0" collapsed="false">
      <c r="A4" s="2" t="s">
        <v>98</v>
      </c>
      <c r="B4" s="2" t="s">
        <v>24</v>
      </c>
      <c r="C4" s="2"/>
      <c r="D4" s="2" t="s">
        <v>99</v>
      </c>
      <c r="E4" s="3" t="n">
        <f aca="false">INDEX(Profile!$D:$D, MATCH(B4, Profile!$A:$A, 0))</f>
        <v>34833</v>
      </c>
      <c r="F4" s="5" t="n">
        <f aca="true">IF(E4="","",DATE(YEAR(TODAY())+IF(DATE(YEAR(TODAY()),MONTH(E4),DAY(E4))&lt;TODAY(),1,0),MONTH(E4),DAY(E4)))</f>
        <v>46521</v>
      </c>
      <c r="G4" s="2" t="n">
        <f aca="true">IF(F4="","",F4-TODAY())</f>
        <v>279</v>
      </c>
      <c r="H4" s="2" t="s">
        <v>96</v>
      </c>
    </row>
    <row r="5" customFormat="false" ht="15" hidden="false" customHeight="false" outlineLevel="0" collapsed="false">
      <c r="A5" s="2" t="s">
        <v>100</v>
      </c>
      <c r="B5" s="2" t="s">
        <v>34</v>
      </c>
      <c r="C5" s="2"/>
      <c r="D5" s="2" t="s">
        <v>99</v>
      </c>
      <c r="E5" s="3" t="n">
        <f aca="false">INDEX(Profile!$D:$D, MATCH(B5, Profile!$A:$A, 0))</f>
        <v>35703</v>
      </c>
      <c r="F5" s="5" t="n">
        <f aca="true">IF(E5="","",DATE(YEAR(TODAY())+IF(DATE(YEAR(TODAY()),MONTH(E5),DAY(E5))&lt;TODAY(),1,0),MONTH(E5),DAY(E5)))</f>
        <v>46295</v>
      </c>
      <c r="G5" s="2" t="n">
        <f aca="true">IF(F5="","",F5-TODAY())</f>
        <v>53</v>
      </c>
      <c r="H5" s="2" t="s">
        <v>96</v>
      </c>
    </row>
    <row r="6" customFormat="false" ht="15" hidden="false" customHeight="false" outlineLevel="0" collapsed="false">
      <c r="A6" s="2" t="s">
        <v>101</v>
      </c>
      <c r="B6" s="2" t="s">
        <v>42</v>
      </c>
      <c r="C6" s="2" t="s">
        <v>72</v>
      </c>
      <c r="D6" s="2" t="s">
        <v>102</v>
      </c>
      <c r="E6" s="3" t="n">
        <v>46266</v>
      </c>
      <c r="F6" s="5" t="n">
        <f aca="true">IF(E6="","",DATE(YEAR(TODAY())+IF(DATE(YEAR(TODAY()),MONTH(E6),DAY(E6))&lt;TODAY(),1,0),MONTH(E6),DAY(E6)))</f>
        <v>46266</v>
      </c>
      <c r="G6" s="2" t="n">
        <f aca="true">IF(F6="","",F6-TODAY())</f>
        <v>24</v>
      </c>
      <c r="H6" s="2" t="s">
        <v>96</v>
      </c>
    </row>
    <row r="8" customFormat="false" ht="15" hidden="false" customHeight="false" outlineLevel="0" collapsed="false">
      <c r="A8" s="4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2026-08-08T02:35:53Z</dcterms:created>
  <dc:creator>openpyxl</dc:creator>
  <dc:description/>
  <dc:language>en-US</dc:language>
  <cp:lastModifiedBy/>
  <dcterms:modified xsi:type="dcterms:W3CDTF">2026-08-08T02:35:53Z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